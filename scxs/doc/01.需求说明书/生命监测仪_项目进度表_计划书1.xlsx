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主表" sheetId="1" r:id="rId1"/>
    <sheet name="版权说明" sheetId="2" r:id="rId2"/>
  </sheets>
  <externalReferences>
    <externalReference r:id="rId3"/>
    <externalReference r:id="rId4"/>
    <externalReference r:id="rId5"/>
  </externalReferences>
  <definedNames>
    <definedName name="_xlnm.Print_Area" localSheetId="0">主表!$B$1:$AH$23</definedName>
    <definedName name="月份">'[3]Sheet1 (2)'!#REF!</definedName>
    <definedName name="销售比例">'[3]Sheet1 (2)'!$G:$G</definedName>
    <definedName name="外购入库序时簿">[2]外购入库序时簿!$C$1:$W$675</definedName>
    <definedName name="委外加工入库序时簿">[2]委外加工入库序时簿!$B$1:$S$206</definedName>
    <definedName name="委外加工出库单序时簿">[1]委外加工出库单序时簿!$A$1:$S$507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<sst xmlns="http://schemas.openxmlformats.org/spreadsheetml/2006/main" count="78" uniqueCount="52">
  <si>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生命监测仪——项目进度表</t>
  </si>
  <si>
    <t>日期：</t>
  </si>
  <si>
    <t>项目名称</t>
  </si>
  <si>
    <t>负责人</t>
  </si>
  <si>
    <t>进度</t>
  </si>
  <si>
    <t>开始日期</t>
  </si>
  <si>
    <t>结束日期</t>
  </si>
  <si>
    <t>天数</t>
  </si>
  <si>
    <t>交付标准or其他</t>
  </si>
  <si>
    <t>需求分析说明书</t>
  </si>
  <si>
    <t>郭明杰</t>
  </si>
  <si>
    <t>系统架构</t>
  </si>
  <si>
    <t>王胜强</t>
  </si>
  <si>
    <t>绘制系统架构图</t>
  </si>
  <si>
    <t>业务流程</t>
  </si>
  <si>
    <t>明确业务流程绘制流程图</t>
  </si>
  <si>
    <t>数据流</t>
  </si>
  <si>
    <t>绘制数据流图</t>
  </si>
  <si>
    <t>数据库存储</t>
  </si>
  <si>
    <t>明确系统数据存储方式</t>
  </si>
  <si>
    <t>软硬件配置</t>
  </si>
  <si>
    <t>明确软硬件配置</t>
  </si>
  <si>
    <t>stroy拆分</t>
  </si>
  <si>
    <t>模块拆分为story</t>
  </si>
  <si>
    <r>
      <rPr>
        <b/>
        <sz val="15"/>
        <color rgb="FF000000"/>
        <rFont val="汉仪文黑-55简"/>
        <charset val="134"/>
      </rPr>
      <t xml:space="preserve"> </t>
    </r>
    <r>
      <rPr>
        <sz val="15"/>
        <color rgb="FF000000"/>
        <rFont val="汉仪文黑-55简"/>
        <charset val="134"/>
      </rPr>
      <t>模块-1</t>
    </r>
  </si>
  <si>
    <r>
      <rPr>
        <b/>
        <sz val="15"/>
        <color rgb="FF000000"/>
        <rFont val="汉仪文黑-55简"/>
        <charset val="134"/>
      </rPr>
      <t xml:space="preserve"> </t>
    </r>
    <r>
      <rPr>
        <sz val="15"/>
        <color rgb="FF000000"/>
        <rFont val="汉仪文黑-55简"/>
        <charset val="134"/>
      </rPr>
      <t>模块-2</t>
    </r>
  </si>
  <si>
    <r>
      <rPr>
        <b/>
        <sz val="15"/>
        <color rgb="FF000000"/>
        <rFont val="汉仪文黑-55简"/>
        <charset val="134"/>
      </rPr>
      <t xml:space="preserve"> </t>
    </r>
    <r>
      <rPr>
        <sz val="15"/>
        <color rgb="FF000000"/>
        <rFont val="汉仪文黑-55简"/>
        <charset val="134"/>
      </rPr>
      <t>模块-3</t>
    </r>
  </si>
  <si>
    <r>
      <rPr>
        <b/>
        <sz val="15"/>
        <color rgb="FF000000"/>
        <rFont val="汉仪文黑-55简"/>
        <charset val="134"/>
      </rPr>
      <t xml:space="preserve"> </t>
    </r>
    <r>
      <rPr>
        <sz val="15"/>
        <color rgb="FF000000"/>
        <rFont val="汉仪文黑-55简"/>
        <charset val="134"/>
      </rPr>
      <t>模块-4</t>
    </r>
  </si>
  <si>
    <t>南北技术架构</t>
  </si>
  <si>
    <t>南北向形成通信</t>
  </si>
  <si>
    <t>北向环境搭建</t>
  </si>
  <si>
    <t>李聪睿</t>
  </si>
  <si>
    <t>北向四人搭建好环境</t>
  </si>
  <si>
    <t>南向环境搭建</t>
  </si>
  <si>
    <t>姜英祺</t>
  </si>
  <si>
    <t>南向四人搭建好环境</t>
  </si>
  <si>
    <t>网络拓扑-南北通信机制</t>
  </si>
  <si>
    <t>北向技术准备</t>
  </si>
  <si>
    <t>北向开发技术准备</t>
  </si>
  <si>
    <t>北向四人完成初步视频学习</t>
  </si>
  <si>
    <t>南向技术准备</t>
  </si>
  <si>
    <t>代码烧录入</t>
  </si>
  <si>
    <t>成功录入程序到开发板</t>
  </si>
  <si>
    <t>通过传感器读取到数据</t>
  </si>
  <si>
    <t>读取到"HelloWorld!"</t>
  </si>
  <si>
    <t>烧录例程试运行</t>
  </si>
  <si>
    <t>选择一例程运行成功</t>
  </si>
  <si>
    <t>明确所需硬件配置</t>
  </si>
  <si>
    <t>给出产品所需硬件清单</t>
  </si>
  <si>
    <t>按story进行开发</t>
  </si>
  <si>
    <t>story1</t>
  </si>
  <si>
    <t>story2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</si>
</sst>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年&quot;"/>
    <numFmt numFmtId="177" formatCode="General&quot;月&quot;"/>
    <numFmt numFmtId="178" formatCode="d"/>
    <numFmt numFmtId="179" formatCode="yy/m/d;@"/>
    <numFmt numFmtId="180" formatCode="m/d;@"/>
  </numFmts>
  <fonts count="27">
    <font>
      <sz val="12"/>
      <color theme="1"/>
      <name val="等线"/>
      <charset val="134"/>
      <scheme val="minor"/>
    </font>
    <font>
      <sz val="11"/>
      <color rgb="FF000000"/>
      <name val="汉仪润圆-65简"/>
      <charset val="134"/>
    </font>
    <font>
      <sz val="15"/>
      <color rgb="FF000000"/>
      <name val="汉仪文黑-55简"/>
      <charset val="134"/>
    </font>
    <font>
      <sz val="28"/>
      <color rgb="FF000000"/>
      <name val="汉仪文黑-55简"/>
      <charset val="134"/>
    </font>
    <font>
      <u/>
      <sz val="15"/>
      <color rgb="FF000000"/>
      <name val="汉仪文黑-55简"/>
      <charset val="134"/>
    </font>
    <font>
      <sz val="15"/>
      <color rgb="FFFFFFFF"/>
      <name val="汉仪文黑-55简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rgb="FF000000"/>
      <name val="汉仪文黑-55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5998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359683"/>
      </left>
      <right style="thin">
        <color rgb="FFFFFFFF"/>
      </right>
      <top style="thin">
        <color rgb="FF359683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359683"/>
      </top>
      <bottom style="thin">
        <color rgb="FFFFFFFF"/>
      </bottom>
      <diagonal/>
    </border>
    <border>
      <left style="thin">
        <color rgb="FF359683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359683"/>
      </left>
      <right style="thin">
        <color rgb="FFFFFFFF"/>
      </right>
      <top style="thin">
        <color rgb="FFFFFFFF"/>
      </top>
      <bottom style="thin">
        <color rgb="FF35968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59683"/>
      </bottom>
      <diagonal/>
    </border>
    <border>
      <left style="thin">
        <color rgb="FFFFFFFF"/>
      </left>
      <right style="thin">
        <color rgb="FFFFFFFF"/>
      </right>
      <top/>
      <bottom style="thin">
        <color rgb="FF359683"/>
      </bottom>
      <diagonal/>
    </border>
    <border>
      <left style="thin">
        <color rgb="FF359683"/>
      </left>
      <right style="thin">
        <color rgb="FF359683"/>
      </right>
      <top style="thin">
        <color rgb="FF359683"/>
      </top>
      <bottom style="thin">
        <color rgb="FF359683"/>
      </bottom>
      <diagonal/>
    </border>
    <border>
      <left style="thin">
        <color rgb="FF359683"/>
      </left>
      <right/>
      <top style="thin">
        <color rgb="FF359683"/>
      </top>
      <bottom style="thin">
        <color rgb="FF359683"/>
      </bottom>
      <diagonal/>
    </border>
    <border>
      <left/>
      <right style="thin">
        <color rgb="FF359683"/>
      </right>
      <top style="thin">
        <color rgb="FF359683"/>
      </top>
      <bottom style="thin">
        <color rgb="FF35968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178" fontId="5" fillId="2" borderId="5" xfId="0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5" fillId="2" borderId="7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178" fontId="5" fillId="2" borderId="8" xfId="0" applyNumberFormat="1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left" vertical="center"/>
    </xf>
    <xf numFmtId="179" fontId="2" fillId="3" borderId="9" xfId="0" applyNumberFormat="1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 applyProtection="1">
      <alignment horizontal="center" vertical="center" shrinkToFit="1"/>
    </xf>
    <xf numFmtId="180" fontId="2" fillId="0" borderId="9" xfId="0" applyNumberFormat="1" applyFont="1" applyBorder="1" applyAlignment="1" applyProtection="1">
      <alignment horizontal="center" vertical="center"/>
    </xf>
    <xf numFmtId="179" fontId="2" fillId="0" borderId="9" xfId="0" applyNumberFormat="1" applyFont="1" applyBorder="1" applyAlignment="1" applyProtection="1">
      <alignment horizontal="center" vertical="center"/>
    </xf>
    <xf numFmtId="180" fontId="2" fillId="0" borderId="10" xfId="0" applyNumberFormat="1" applyFont="1" applyBorder="1" applyAlignment="1" applyProtection="1">
      <alignment horizontal="center" vertical="center"/>
    </xf>
    <xf numFmtId="180" fontId="2" fillId="0" borderId="11" xfId="0" applyNumberFormat="1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0" xfId="0" applyFont="1" applyAlignment="1">
      <alignment horizontal="right" vertical="center"/>
    </xf>
    <xf numFmtId="178" fontId="5" fillId="2" borderId="4" xfId="0" applyNumberFormat="1" applyFont="1" applyFill="1" applyBorder="1" applyAlignment="1" applyProtection="1">
      <alignment horizontal="center" vertical="center" wrapText="1"/>
    </xf>
    <xf numFmtId="178" fontId="5" fillId="2" borderId="7" xfId="0" applyNumberFormat="1" applyFont="1" applyFill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334645</xdr:colOff>
      <xdr:row>28</xdr:row>
      <xdr:rowOff>130175</xdr:rowOff>
    </xdr:from>
    <xdr:ext cx="3381375" cy="109664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792605" y="5108575"/>
          <a:ext cx="3381375" cy="1096645"/>
        </a:xfrm>
        <a:prstGeom prst="rect">
          <a:avLst/>
        </a:prstGeom>
      </xdr:spPr>
    </xdr:pic>
    <xdr:clientData/>
  </xdr:oneCellAnchor>
  <xdr:oneCellAnchor>
    <xdr:from>
      <xdr:col>1</xdr:col>
      <xdr:colOff>558165</xdr:colOff>
      <xdr:row>5</xdr:row>
      <xdr:rowOff>147637</xdr:rowOff>
    </xdr:from>
    <xdr:ext cx="110236" cy="453370"/>
    <xdr:sp>
      <xdr:nvSpPr>
        <xdr:cNvPr id="4" name="shape1"/>
        <xdr:cNvSpPr/>
      </xdr:nvSpPr>
      <xdr:spPr>
        <a:xfrm>
          <a:off x="1287145" y="1036320"/>
          <a:ext cx="109855" cy="453390"/>
        </a:xfrm>
        <a:prstGeom prst="rect">
          <a:avLst/>
        </a:prstGeom>
        <a:solidFill>
          <a:srgbClr val="FF273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10</xdr:col>
      <xdr:colOff>499442</xdr:colOff>
      <xdr:row>11</xdr:row>
      <xdr:rowOff>23054</xdr:rowOff>
    </xdr:from>
    <xdr:ext cx="2282" cy="734"/>
    <xdr:sp>
      <xdr:nvSpPr>
        <xdr:cNvPr id="21" name="shape2"/>
        <xdr:cNvSpPr/>
      </xdr:nvSpPr>
      <xdr:spPr>
        <a:xfrm>
          <a:off x="7788910" y="1978660"/>
          <a:ext cx="2540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2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字体说明</a:t>
          </a:r>
          <a:endParaRPr lang="zh-CN" altLang="en-US" sz="22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495935</xdr:colOff>
      <xdr:row>36</xdr:row>
      <xdr:rowOff>113030</xdr:rowOff>
    </xdr:from>
    <xdr:ext cx="1560" cy="1212"/>
    <xdr:sp>
      <xdr:nvSpPr>
        <xdr:cNvPr id="24" name="shape3"/>
        <xdr:cNvSpPr/>
      </xdr:nvSpPr>
      <xdr:spPr>
        <a:xfrm>
          <a:off x="7785735" y="6513830"/>
          <a:ext cx="1270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3800" b="1" baseline="0">
              <a:solidFill>
                <a:srgbClr val="FF2731"/>
              </a:solidFill>
              <a:latin typeface="黑体" panose="02010609060101010101" charset="-122"/>
              <a:ea typeface="黑体" panose="02010609060101010101" charset="-122"/>
            </a:rPr>
            <a:t>03</a:t>
          </a:r>
          <a:endParaRPr lang="zh-CN" altLang="en-US" sz="3800" b="1" baseline="0">
            <a:solidFill>
              <a:srgbClr val="FF273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496962</xdr:colOff>
      <xdr:row>36</xdr:row>
      <xdr:rowOff>113221</xdr:rowOff>
    </xdr:from>
    <xdr:ext cx="2295" cy="724"/>
    <xdr:sp>
      <xdr:nvSpPr>
        <xdr:cNvPr id="25" name="shape4"/>
        <xdr:cNvSpPr/>
      </xdr:nvSpPr>
      <xdr:spPr>
        <a:xfrm>
          <a:off x="7786370" y="6513830"/>
          <a:ext cx="2540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2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素材说明</a:t>
          </a:r>
          <a:endParaRPr lang="zh-CN" altLang="en-US" sz="22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501719</xdr:colOff>
      <xdr:row>41</xdr:row>
      <xdr:rowOff>67837</xdr:rowOff>
    </xdr:from>
    <xdr:ext cx="1293" cy="426"/>
    <xdr:sp>
      <xdr:nvSpPr>
        <xdr:cNvPr id="27" name="shape5"/>
        <xdr:cNvSpPr/>
      </xdr:nvSpPr>
      <xdr:spPr>
        <a:xfrm>
          <a:off x="7791450" y="7357110"/>
          <a:ext cx="1270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图片：</a:t>
          </a:r>
          <a:endParaRPr lang="zh-CN" altLang="en-US" sz="11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501723</xdr:colOff>
      <xdr:row>41</xdr:row>
      <xdr:rowOff>68317</xdr:rowOff>
    </xdr:from>
    <xdr:ext cx="4618" cy="399"/>
    <xdr:sp>
      <xdr:nvSpPr>
        <xdr:cNvPr id="28" name="shape6"/>
        <xdr:cNvSpPr/>
      </xdr:nvSpPr>
      <xdr:spPr>
        <a:xfrm>
          <a:off x="7791450" y="7357745"/>
          <a:ext cx="4445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无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495958</xdr:colOff>
      <xdr:row>47</xdr:row>
      <xdr:rowOff>116313</xdr:rowOff>
    </xdr:from>
    <xdr:ext cx="1291" cy="425"/>
    <xdr:sp>
      <xdr:nvSpPr>
        <xdr:cNvPr id="30" name="shape7"/>
        <xdr:cNvSpPr/>
      </xdr:nvSpPr>
      <xdr:spPr>
        <a:xfrm>
          <a:off x="7785735" y="8472805"/>
          <a:ext cx="127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素材：</a:t>
          </a:r>
          <a:endParaRPr lang="zh-CN" altLang="en-US" sz="11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495935</xdr:colOff>
      <xdr:row>47</xdr:row>
      <xdr:rowOff>116727</xdr:rowOff>
    </xdr:from>
    <xdr:ext cx="4624" cy="399"/>
    <xdr:sp>
      <xdr:nvSpPr>
        <xdr:cNvPr id="31" name="shape8"/>
        <xdr:cNvSpPr/>
      </xdr:nvSpPr>
      <xdr:spPr>
        <a:xfrm>
          <a:off x="7785735" y="8472805"/>
          <a:ext cx="4445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无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284480</xdr:colOff>
      <xdr:row>15</xdr:row>
      <xdr:rowOff>161925</xdr:rowOff>
    </xdr:from>
    <xdr:ext cx="2140315" cy="272534"/>
    <xdr:sp>
      <xdr:nvSpPr>
        <xdr:cNvPr id="33" name="shape9"/>
        <xdr:cNvSpPr/>
      </xdr:nvSpPr>
      <xdr:spPr>
        <a:xfrm>
          <a:off x="1742440" y="2828925"/>
          <a:ext cx="2139950" cy="272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· 如何撤销工作表保护？</a:t>
          </a:r>
          <a:endParaRPr lang="zh-CN" altLang="en-US" sz="11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322006</xdr:colOff>
      <xdr:row>17</xdr:row>
      <xdr:rowOff>47959</xdr:rowOff>
    </xdr:from>
    <xdr:ext cx="2972373" cy="381300"/>
    <xdr:sp>
      <xdr:nvSpPr>
        <xdr:cNvPr id="34" name="shape10"/>
        <xdr:cNvSpPr/>
      </xdr:nvSpPr>
      <xdr:spPr>
        <a:xfrm>
          <a:off x="1779905" y="3070225"/>
          <a:ext cx="29718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1、选中对应工作表。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2、点击：「审阅---撤销工作表」保护。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273050</xdr:colOff>
      <xdr:row>25</xdr:row>
      <xdr:rowOff>57150</xdr:rowOff>
    </xdr:from>
    <xdr:ext cx="1570859" cy="268255"/>
    <xdr:sp>
      <xdr:nvSpPr>
        <xdr:cNvPr id="36" name="shape11"/>
        <xdr:cNvSpPr/>
      </xdr:nvSpPr>
      <xdr:spPr>
        <a:xfrm>
          <a:off x="1731010" y="4502150"/>
          <a:ext cx="1570355" cy="267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· 如何增加行数？</a:t>
          </a:r>
          <a:endParaRPr lang="zh-CN" altLang="en-US" sz="11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23833</xdr:colOff>
      <xdr:row>5</xdr:row>
      <xdr:rowOff>137795</xdr:rowOff>
    </xdr:from>
    <xdr:ext cx="4299881" cy="637301"/>
    <xdr:sp>
      <xdr:nvSpPr>
        <xdr:cNvPr id="5" name="shape12"/>
        <xdr:cNvSpPr/>
      </xdr:nvSpPr>
      <xdr:spPr>
        <a:xfrm>
          <a:off x="1481455" y="1026795"/>
          <a:ext cx="4299585" cy="636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6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稻壳儿表格模板使用说明</a:t>
          </a:r>
          <a:endParaRPr lang="zh-CN" altLang="en-US" sz="26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318375</xdr:colOff>
      <xdr:row>26</xdr:row>
      <xdr:rowOff>117595</xdr:rowOff>
    </xdr:from>
    <xdr:ext cx="3504324" cy="382784"/>
    <xdr:sp>
      <xdr:nvSpPr>
        <xdr:cNvPr id="37" name="shape13"/>
        <xdr:cNvSpPr/>
      </xdr:nvSpPr>
      <xdr:spPr>
        <a:xfrm>
          <a:off x="1776095" y="4740275"/>
          <a:ext cx="3503930" cy="382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1、选中最后一行，鼠标放在选中区域右下角。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2、当鼠标箭头变成黑色十字形时，点击鼠标左键下拉即可。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395605</xdr:colOff>
      <xdr:row>19</xdr:row>
      <xdr:rowOff>131445</xdr:rowOff>
    </xdr:from>
    <xdr:ext cx="4472940" cy="61150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853565" y="3509645"/>
          <a:ext cx="4472940" cy="611505"/>
        </a:xfrm>
        <a:prstGeom prst="rect">
          <a:avLst/>
        </a:prstGeom>
      </xdr:spPr>
    </xdr:pic>
    <xdr:clientData/>
  </xdr:oneCellAnchor>
  <xdr:oneCellAnchor>
    <xdr:from>
      <xdr:col>2</xdr:col>
      <xdr:colOff>283210</xdr:colOff>
      <xdr:row>35</xdr:row>
      <xdr:rowOff>124460</xdr:rowOff>
    </xdr:from>
    <xdr:ext cx="2852596" cy="259532"/>
    <xdr:sp>
      <xdr:nvSpPr>
        <xdr:cNvPr id="40" name="shape14"/>
        <xdr:cNvSpPr/>
      </xdr:nvSpPr>
      <xdr:spPr>
        <a:xfrm>
          <a:off x="1741170" y="6347460"/>
          <a:ext cx="285242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· 使用说明。</a:t>
          </a:r>
          <a:endParaRPr lang="zh-CN" altLang="en-US" sz="11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320752</xdr:colOff>
      <xdr:row>37</xdr:row>
      <xdr:rowOff>9494</xdr:rowOff>
    </xdr:from>
    <xdr:ext cx="2972992" cy="1338610"/>
    <xdr:sp>
      <xdr:nvSpPr>
        <xdr:cNvPr id="41" name="shape15"/>
        <xdr:cNvSpPr/>
      </xdr:nvSpPr>
      <xdr:spPr>
        <a:xfrm>
          <a:off x="1778635" y="6587490"/>
          <a:ext cx="2972435" cy="1338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</a:p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1.红色框区域自动计算。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2.更改年月，日期可更新。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3.统计下一个月的数据需要将上一个月的数据去除，表单不支持每个月数据的统计，可以复制表单清空内容，切换到下一月使用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</a:p>
        <a:p>
          <a:pPr algn="l"/>
        </a:p>
        <a:p>
          <a:pPr algn="l"/>
        </a:p>
      </xdr:txBody>
    </xdr:sp>
    <xdr:clientData/>
  </xdr:oneCellAnchor>
  <xdr:oneCellAnchor>
    <xdr:from>
      <xdr:col>10</xdr:col>
      <xdr:colOff>502920</xdr:colOff>
      <xdr:row>30</xdr:row>
      <xdr:rowOff>62230</xdr:rowOff>
    </xdr:from>
    <xdr:ext cx="3677920" cy="700405"/>
    <xdr:sp>
      <xdr:nvSpPr>
        <xdr:cNvPr id="42" name="shape16"/>
        <xdr:cNvSpPr/>
      </xdr:nvSpPr>
      <xdr:spPr>
        <a:xfrm>
          <a:off x="7792720" y="5396230"/>
          <a:ext cx="3677920" cy="700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【说明】</a:t>
          </a:r>
          <a:endParaRPr lang="zh-CN" altLang="en-US" sz="7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  <a:p>
          <a:pPr algn="l"/>
          <a:r>
            <a:rPr lang="zh-CN" altLang="en-US" sz="7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模板中使用的字体仅限于个人学习、研究或欣赏目的使用，如需商用请您自行向版权方购买、获取商用版权。</a:t>
          </a:r>
          <a:endParaRPr lang="zh-CN" altLang="en-US" sz="7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114300</xdr:colOff>
      <xdr:row>43</xdr:row>
      <xdr:rowOff>118110</xdr:rowOff>
    </xdr:from>
    <xdr:ext cx="4783455" cy="2346960"/>
    <xdr:pic>
      <xdr:nvPicPr>
        <xdr:cNvPr id="6" name="图片 3"/>
        <xdr:cNvPicPr/>
      </xdr:nvPicPr>
      <xdr:blipFill>
        <a:blip r:embed="rId3"/>
        <a:stretch>
          <a:fillRect/>
        </a:stretch>
      </xdr:blipFill>
      <xdr:spPr>
        <a:xfrm>
          <a:off x="1572260" y="7763510"/>
          <a:ext cx="4783455" cy="2346960"/>
        </a:xfrm>
        <a:prstGeom prst="rect">
          <a:avLst/>
        </a:prstGeom>
      </xdr:spPr>
    </xdr:pic>
    <xdr:clientData/>
  </xdr:oneCellAnchor>
  <xdr:oneCellAnchor>
    <xdr:from>
      <xdr:col>1</xdr:col>
      <xdr:colOff>637276</xdr:colOff>
      <xdr:row>8</xdr:row>
      <xdr:rowOff>84216</xdr:rowOff>
    </xdr:from>
    <xdr:ext cx="3833644" cy="287893"/>
    <xdr:sp>
      <xdr:nvSpPr>
        <xdr:cNvPr id="7" name="shape17"/>
        <xdr:cNvSpPr/>
      </xdr:nvSpPr>
      <xdr:spPr>
        <a:xfrm>
          <a:off x="1365885" y="1506220"/>
          <a:ext cx="3833495" cy="2876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（本页为说明页，用户使用模板时可删除本页内容）</a:t>
          </a:r>
          <a:endParaRPr lang="zh-CN" altLang="en-US" sz="12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2</xdr:col>
      <xdr:colOff>214630</xdr:colOff>
      <xdr:row>11</xdr:row>
      <xdr:rowOff>12700</xdr:rowOff>
    </xdr:from>
    <xdr:ext cx="1005585" cy="717550"/>
    <xdr:sp>
      <xdr:nvSpPr>
        <xdr:cNvPr id="8" name="shape18"/>
        <xdr:cNvSpPr/>
      </xdr:nvSpPr>
      <xdr:spPr>
        <a:xfrm>
          <a:off x="1672590" y="1968500"/>
          <a:ext cx="1005205" cy="717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3800" b="1" baseline="0">
              <a:solidFill>
                <a:srgbClr val="FF2731"/>
              </a:solidFill>
              <a:latin typeface="黑体" panose="02010609060101010101" charset="-122"/>
              <a:ea typeface="黑体" panose="02010609060101010101" charset="-122"/>
            </a:rPr>
            <a:t>01</a:t>
          </a:r>
          <a:endParaRPr lang="zh-CN" altLang="en-US" sz="3800" b="1" baseline="0">
            <a:solidFill>
              <a:srgbClr val="FF273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3</xdr:col>
      <xdr:colOff>192089</xdr:colOff>
      <xdr:row>11</xdr:row>
      <xdr:rowOff>133530</xdr:rowOff>
    </xdr:from>
    <xdr:ext cx="2478720" cy="452961"/>
    <xdr:sp>
      <xdr:nvSpPr>
        <xdr:cNvPr id="9" name="shape19"/>
        <xdr:cNvSpPr/>
      </xdr:nvSpPr>
      <xdr:spPr>
        <a:xfrm>
          <a:off x="2378710" y="2089150"/>
          <a:ext cx="2478405" cy="452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200" b="1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基础操作指南</a:t>
          </a:r>
          <a:endParaRPr lang="zh-CN" altLang="en-US" sz="2200" b="1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97790</xdr:colOff>
      <xdr:row>14</xdr:row>
      <xdr:rowOff>81280</xdr:rowOff>
    </xdr:from>
    <xdr:ext cx="0" cy="9529445"/>
    <xdr:cxnSp>
      <xdr:nvCxnSpPr>
        <xdr:cNvPr id="10" name="shape20"/>
        <xdr:cNvCxnSpPr/>
      </xdr:nvCxnSpPr>
      <xdr:spPr>
        <a:xfrm>
          <a:off x="7387590" y="2570480"/>
          <a:ext cx="0" cy="9529445"/>
        </a:xfrm>
        <a:prstGeom prst="line">
          <a:avLst/>
        </a:prstGeom>
        <a:noFill/>
        <a:ln w="12700">
          <a:solidFill>
            <a:srgbClr val="22222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498637</xdr:colOff>
      <xdr:row>11</xdr:row>
      <xdr:rowOff>24243</xdr:rowOff>
    </xdr:from>
    <xdr:ext cx="1710" cy="457"/>
    <xdr:sp>
      <xdr:nvSpPr>
        <xdr:cNvPr id="17" name="shape21"/>
        <xdr:cNvSpPr/>
      </xdr:nvSpPr>
      <xdr:spPr>
        <a:xfrm>
          <a:off x="7788275" y="1979930"/>
          <a:ext cx="127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 baseline="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</a:rPr>
            <a:t>中文｜字体名称</a:t>
          </a:r>
          <a:endParaRPr lang="zh-CN" altLang="en-US" sz="900" baseline="0">
            <a:solidFill>
              <a:srgbClr val="222222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  <xdr:oneCellAnchor>
    <xdr:from>
      <xdr:col>10</xdr:col>
      <xdr:colOff>498589</xdr:colOff>
      <xdr:row>11</xdr:row>
      <xdr:rowOff>24646</xdr:rowOff>
    </xdr:from>
    <xdr:ext cx="4129" cy="882"/>
    <xdr:sp>
      <xdr:nvSpPr>
        <xdr:cNvPr id="18" name="shape22"/>
        <xdr:cNvSpPr/>
      </xdr:nvSpPr>
      <xdr:spPr>
        <a:xfrm>
          <a:off x="7788275" y="1979930"/>
          <a:ext cx="3810" cy="1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500" baseline="0">
              <a:latin typeface="汉仪文黑-55简"/>
              <a:ea typeface="汉仪文黑-55简"/>
            </a:rPr>
            <a:t>汉仪文黑-55简</a:t>
          </a:r>
          <a:endParaRPr lang="zh-CN" altLang="en-US" sz="1500" baseline="0">
            <a:latin typeface="汉仪文黑-55简"/>
            <a:ea typeface="汉仪文黑-55简"/>
          </a:endParaRPr>
        </a:p>
        <a:p>
          <a:pPr algn="l"/>
        </a:p>
      </xdr:txBody>
    </xdr:sp>
    <xdr:clientData/>
  </xdr:oneCellAnchor>
  <xdr:oneCellAnchor>
    <xdr:from>
      <xdr:col>10</xdr:col>
      <xdr:colOff>498475</xdr:colOff>
      <xdr:row>11</xdr:row>
      <xdr:rowOff>22860</xdr:rowOff>
    </xdr:from>
    <xdr:ext cx="1505" cy="1227"/>
    <xdr:sp>
      <xdr:nvSpPr>
        <xdr:cNvPr id="20" name="shape23"/>
        <xdr:cNvSpPr/>
      </xdr:nvSpPr>
      <xdr:spPr>
        <a:xfrm>
          <a:off x="7788275" y="1978660"/>
          <a:ext cx="1270" cy="6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3800" b="1" baseline="0">
              <a:solidFill>
                <a:srgbClr val="FF2731"/>
              </a:solidFill>
              <a:latin typeface="黑体" panose="02010609060101010101" charset="-122"/>
              <a:ea typeface="黑体" panose="02010609060101010101" charset="-122"/>
            </a:rPr>
            <a:t>02</a:t>
          </a:r>
          <a:endParaRPr lang="zh-CN" altLang="en-US" sz="3800" b="1" baseline="0">
            <a:solidFill>
              <a:srgbClr val="FF273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\&#24212;&#20184;\NBC\2020&#24180;&#24212;&#20184;\202012\&#24212;&#20184;&#26126;&#32454;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\anencw$\&#36130;&#21153;&#25253;&#34920;\&#24212;&#20184;&#36134;&#27454;\2021\2021&#24180;&#24212;&#20184;&#26126;&#32454;01-09%20-%20&#26368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7101;&#26126;&#26480;\AppData\Roaming\Kingsoft\office6\templates\download\39c70128-479a-42da-9b70-4ec1978fedbe\&#24180;&#24230;&#19994;&#32489;&#32479;&#35745;&#20998;&#26512;&#25490;&#2151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外购入库序时簿"/>
      <sheetName val="委外加工入库序时簿"/>
      <sheetName val="委外加工出库单序时簿"/>
      <sheetName val="委外结存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采购分析-供应商"/>
      <sheetName val="采购分析-物料汇总"/>
      <sheetName val="加工费-供应商分析"/>
      <sheetName val="加工费-产品分析"/>
      <sheetName val="委外加工入库序时簿"/>
      <sheetName val="采购入库物料"/>
      <sheetName val="外购入库序时簿"/>
      <sheetName val="委外加工出库单序时簿"/>
      <sheetName val="委外结存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版权说明"/>
      <sheetName val="Sheet1 (2)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AH33"/>
  <sheetViews>
    <sheetView showGridLines="0" tabSelected="1" zoomScale="55" zoomScaleNormal="55" workbookViewId="0">
      <selection activeCell="H30" sqref="H30"/>
    </sheetView>
  </sheetViews>
  <sheetFormatPr defaultColWidth="9" defaultRowHeight="30" customHeight="1"/>
  <cols>
    <col min="1" max="1" width="1.83076923076923" style="3" customWidth="1"/>
    <col min="2" max="2" width="9.66153846153846" style="3" customWidth="1"/>
    <col min="3" max="3" width="22.1692307692308" style="3" customWidth="1"/>
    <col min="4" max="4" width="11.3307692307692" style="3" customWidth="1"/>
    <col min="5" max="7" width="13.3307692307692" style="3" customWidth="1"/>
    <col min="8" max="8" width="4" style="4" customWidth="1"/>
    <col min="9" max="9" width="31.1846153846154" style="4" customWidth="1"/>
    <col min="10" max="15" width="4" style="4" hidden="1" customWidth="1"/>
    <col min="16" max="34" width="4" style="4" customWidth="1"/>
    <col min="35" max="40" width="9" style="3"/>
  </cols>
  <sheetData>
    <row r="1" ht="4" customHeight="1" spans="2:34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="2" customFormat="1" ht="34" customHeight="1" spans="2:34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="3" customFormat="1" ht="7" customHeight="1" spans="3:34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7"/>
      <c r="O3" s="27"/>
      <c r="P3" s="5"/>
      <c r="Q3" s="5"/>
      <c r="R3" s="27"/>
      <c r="S3" s="27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="3" customFormat="1" ht="27" customHeight="1" spans="2:34">
      <c r="B4" s="3" t="s">
        <v>1</v>
      </c>
      <c r="C4" s="7">
        <v>2025</v>
      </c>
      <c r="D4" s="7"/>
      <c r="E4" s="8"/>
      <c r="F4" s="8">
        <v>4</v>
      </c>
      <c r="G4" s="5"/>
      <c r="H4" s="5"/>
      <c r="I4" s="5"/>
      <c r="J4" s="5"/>
      <c r="K4" s="5"/>
      <c r="L4" s="5"/>
      <c r="M4" s="5"/>
      <c r="N4" s="27"/>
      <c r="O4" s="27"/>
      <c r="P4" s="5"/>
      <c r="Q4" s="5"/>
      <c r="R4" s="27"/>
      <c r="S4" s="27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="3" customFormat="1" ht="4" customHeight="1" spans="2:34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="3" customFormat="1" ht="12" customHeight="1" spans="2:34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="3" customFormat="1" ht="33" customHeight="1" spans="2:34">
      <c r="B7" s="11" t="s">
        <v>2</v>
      </c>
      <c r="C7" s="12"/>
      <c r="D7" s="12" t="s">
        <v>3</v>
      </c>
      <c r="E7" s="13" t="s">
        <v>4</v>
      </c>
      <c r="F7" s="12" t="s">
        <v>5</v>
      </c>
      <c r="G7" s="12" t="s">
        <v>6</v>
      </c>
      <c r="H7" s="14" t="s">
        <v>7</v>
      </c>
      <c r="I7" s="14" t="s">
        <v>8</v>
      </c>
      <c r="J7" s="28">
        <f>DATE($C$4,F4,1)</f>
        <v>45748</v>
      </c>
      <c r="K7" s="28">
        <f t="shared" ref="K7:AH7" si="0">J7+1</f>
        <v>45749</v>
      </c>
      <c r="L7" s="28">
        <f t="shared" si="0"/>
        <v>45750</v>
      </c>
      <c r="M7" s="28">
        <f t="shared" si="0"/>
        <v>45751</v>
      </c>
      <c r="N7" s="28">
        <f t="shared" si="0"/>
        <v>45752</v>
      </c>
      <c r="O7" s="28">
        <f t="shared" si="0"/>
        <v>45753</v>
      </c>
      <c r="P7" s="28">
        <f t="shared" si="0"/>
        <v>45754</v>
      </c>
      <c r="Q7" s="28">
        <f t="shared" si="0"/>
        <v>45755</v>
      </c>
      <c r="R7" s="28">
        <f t="shared" si="0"/>
        <v>45756</v>
      </c>
      <c r="S7" s="28">
        <f t="shared" si="0"/>
        <v>45757</v>
      </c>
      <c r="T7" s="28">
        <f t="shared" si="0"/>
        <v>45758</v>
      </c>
      <c r="U7" s="28">
        <f t="shared" si="0"/>
        <v>45759</v>
      </c>
      <c r="V7" s="28">
        <f t="shared" si="0"/>
        <v>45760</v>
      </c>
      <c r="W7" s="28">
        <f t="shared" si="0"/>
        <v>45761</v>
      </c>
      <c r="X7" s="28">
        <f t="shared" si="0"/>
        <v>45762</v>
      </c>
      <c r="Y7" s="28">
        <f t="shared" si="0"/>
        <v>45763</v>
      </c>
      <c r="Z7" s="28">
        <f t="shared" si="0"/>
        <v>45764</v>
      </c>
      <c r="AA7" s="28">
        <f t="shared" si="0"/>
        <v>45765</v>
      </c>
      <c r="AB7" s="28">
        <f t="shared" si="0"/>
        <v>45766</v>
      </c>
      <c r="AC7" s="28">
        <f t="shared" si="0"/>
        <v>45767</v>
      </c>
      <c r="AD7" s="28">
        <f t="shared" si="0"/>
        <v>45768</v>
      </c>
      <c r="AE7" s="28">
        <f t="shared" si="0"/>
        <v>45769</v>
      </c>
      <c r="AF7" s="28">
        <f t="shared" si="0"/>
        <v>45770</v>
      </c>
      <c r="AG7" s="28">
        <f t="shared" si="0"/>
        <v>45771</v>
      </c>
      <c r="AH7" s="28">
        <f t="shared" si="0"/>
        <v>45772</v>
      </c>
    </row>
    <row r="8" s="3" customFormat="1" ht="33" customHeight="1" spans="2:34">
      <c r="B8" s="15"/>
      <c r="C8" s="16"/>
      <c r="D8" s="16"/>
      <c r="E8" s="17"/>
      <c r="F8" s="16"/>
      <c r="G8" s="16"/>
      <c r="H8" s="18"/>
      <c r="I8" s="18"/>
      <c r="J8" s="29" t="str">
        <f t="shared" ref="J8:AH8" si="1">TEXT(J7,"AAA")</f>
        <v>二</v>
      </c>
      <c r="K8" s="29" t="str">
        <f t="shared" si="1"/>
        <v>三</v>
      </c>
      <c r="L8" s="29" t="str">
        <f t="shared" si="1"/>
        <v>四</v>
      </c>
      <c r="M8" s="29" t="str">
        <f t="shared" si="1"/>
        <v>五</v>
      </c>
      <c r="N8" s="29" t="str">
        <f t="shared" si="1"/>
        <v>六</v>
      </c>
      <c r="O8" s="29" t="str">
        <f t="shared" si="1"/>
        <v>日</v>
      </c>
      <c r="P8" s="29" t="str">
        <f t="shared" si="1"/>
        <v>一</v>
      </c>
      <c r="Q8" s="29" t="str">
        <f t="shared" si="1"/>
        <v>二</v>
      </c>
      <c r="R8" s="29" t="str">
        <f t="shared" si="1"/>
        <v>三</v>
      </c>
      <c r="S8" s="29" t="str">
        <f t="shared" si="1"/>
        <v>四</v>
      </c>
      <c r="T8" s="29" t="str">
        <f t="shared" si="1"/>
        <v>五</v>
      </c>
      <c r="U8" s="29" t="str">
        <f t="shared" si="1"/>
        <v>六</v>
      </c>
      <c r="V8" s="29" t="str">
        <f t="shared" si="1"/>
        <v>日</v>
      </c>
      <c r="W8" s="29" t="str">
        <f t="shared" si="1"/>
        <v>一</v>
      </c>
      <c r="X8" s="29" t="str">
        <f t="shared" si="1"/>
        <v>二</v>
      </c>
      <c r="Y8" s="29" t="str">
        <f t="shared" si="1"/>
        <v>三</v>
      </c>
      <c r="Z8" s="29" t="str">
        <f t="shared" si="1"/>
        <v>四</v>
      </c>
      <c r="AA8" s="29" t="str">
        <f t="shared" si="1"/>
        <v>五</v>
      </c>
      <c r="AB8" s="29" t="str">
        <f t="shared" si="1"/>
        <v>六</v>
      </c>
      <c r="AC8" s="29" t="str">
        <f t="shared" si="1"/>
        <v>日</v>
      </c>
      <c r="AD8" s="29" t="str">
        <f t="shared" si="1"/>
        <v>一</v>
      </c>
      <c r="AE8" s="29" t="str">
        <f t="shared" si="1"/>
        <v>二</v>
      </c>
      <c r="AF8" s="29" t="str">
        <f t="shared" si="1"/>
        <v>三</v>
      </c>
      <c r="AG8" s="29" t="str">
        <f t="shared" si="1"/>
        <v>四</v>
      </c>
      <c r="AH8" s="29" t="str">
        <f t="shared" si="1"/>
        <v>五</v>
      </c>
    </row>
    <row r="9" s="3" customFormat="1" ht="33" customHeight="1" spans="2:34">
      <c r="B9" s="19" t="s">
        <v>9</v>
      </c>
      <c r="C9" s="19"/>
      <c r="D9" s="20" t="s">
        <v>10</v>
      </c>
      <c r="E9" s="20"/>
      <c r="F9" s="20">
        <f>MIN(F10:F14)</f>
        <v>45754</v>
      </c>
      <c r="G9" s="20">
        <f>MAX(G10:G14)</f>
        <v>45758</v>
      </c>
      <c r="H9" s="21">
        <f>G9-F9+1</f>
        <v>5</v>
      </c>
      <c r="I9" s="21" t="s">
        <v>9</v>
      </c>
      <c r="J9" s="21" t="str">
        <f t="shared" ref="J9:AH9" si="2">IF(AND(J$7&gt;=$F9,J$7&lt;=$G9),1,"")</f>
        <v/>
      </c>
      <c r="K9" s="21" t="str">
        <f t="shared" si="2"/>
        <v/>
      </c>
      <c r="L9" s="21" t="str">
        <f t="shared" si="2"/>
        <v/>
      </c>
      <c r="M9" s="21" t="str">
        <f t="shared" si="2"/>
        <v/>
      </c>
      <c r="N9" s="21" t="str">
        <f t="shared" si="2"/>
        <v/>
      </c>
      <c r="O9" s="21" t="str">
        <f t="shared" si="2"/>
        <v/>
      </c>
      <c r="P9" s="21">
        <f t="shared" si="2"/>
        <v>1</v>
      </c>
      <c r="Q9" s="21">
        <f t="shared" si="2"/>
        <v>1</v>
      </c>
      <c r="R9" s="21">
        <f t="shared" si="2"/>
        <v>1</v>
      </c>
      <c r="S9" s="21">
        <f t="shared" si="2"/>
        <v>1</v>
      </c>
      <c r="T9" s="21">
        <f t="shared" si="2"/>
        <v>1</v>
      </c>
      <c r="U9" s="21" t="str">
        <f t="shared" si="2"/>
        <v/>
      </c>
      <c r="V9" s="21" t="str">
        <f t="shared" si="2"/>
        <v/>
      </c>
      <c r="W9" s="21" t="str">
        <f t="shared" si="2"/>
        <v/>
      </c>
      <c r="X9" s="21" t="str">
        <f t="shared" si="2"/>
        <v/>
      </c>
      <c r="Y9" s="21" t="str">
        <f t="shared" si="2"/>
        <v/>
      </c>
      <c r="Z9" s="21" t="str">
        <f t="shared" si="2"/>
        <v/>
      </c>
      <c r="AA9" s="21" t="str">
        <f t="shared" si="2"/>
        <v/>
      </c>
      <c r="AB9" s="21" t="str">
        <f t="shared" si="2"/>
        <v/>
      </c>
      <c r="AC9" s="21" t="str">
        <f t="shared" si="2"/>
        <v/>
      </c>
      <c r="AD9" s="21" t="str">
        <f t="shared" si="2"/>
        <v/>
      </c>
      <c r="AE9" s="21" t="str">
        <f t="shared" si="2"/>
        <v/>
      </c>
      <c r="AF9" s="21" t="str">
        <f t="shared" si="2"/>
        <v/>
      </c>
      <c r="AG9" s="21" t="str">
        <f t="shared" si="2"/>
        <v/>
      </c>
      <c r="AH9" s="21" t="str">
        <f t="shared" si="2"/>
        <v/>
      </c>
    </row>
    <row r="10" s="3" customFormat="1" ht="33" customHeight="1" spans="2:34">
      <c r="B10" s="22" t="s">
        <v>11</v>
      </c>
      <c r="C10" s="22"/>
      <c r="D10" s="23" t="s">
        <v>12</v>
      </c>
      <c r="E10" s="23"/>
      <c r="F10" s="23">
        <v>45754</v>
      </c>
      <c r="G10" s="23">
        <v>45758</v>
      </c>
      <c r="H10" s="21">
        <f t="shared" ref="H10:H33" si="3">G10-F10+1</f>
        <v>5</v>
      </c>
      <c r="I10" s="30" t="s">
        <v>13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="3" customFormat="1" ht="33" customHeight="1" spans="2:34">
      <c r="B11" s="22" t="s">
        <v>14</v>
      </c>
      <c r="C11" s="22"/>
      <c r="D11" s="23" t="s">
        <v>10</v>
      </c>
      <c r="E11" s="23"/>
      <c r="F11" s="23">
        <v>45754</v>
      </c>
      <c r="G11" s="23">
        <v>45758</v>
      </c>
      <c r="H11" s="21">
        <f t="shared" si="3"/>
        <v>5</v>
      </c>
      <c r="I11" s="30" t="s">
        <v>15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="3" customFormat="1" ht="33" customHeight="1" spans="2:34">
      <c r="B12" s="22" t="s">
        <v>16</v>
      </c>
      <c r="C12" s="22"/>
      <c r="D12" s="23" t="s">
        <v>10</v>
      </c>
      <c r="E12" s="23"/>
      <c r="F12" s="23">
        <v>45757</v>
      </c>
      <c r="G12" s="23">
        <v>45758</v>
      </c>
      <c r="H12" s="21">
        <f t="shared" si="3"/>
        <v>2</v>
      </c>
      <c r="I12" s="30" t="s">
        <v>17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s="3" customFormat="1" ht="33" customHeight="1" spans="2:34">
      <c r="B13" s="24" t="s">
        <v>18</v>
      </c>
      <c r="C13" s="25"/>
      <c r="D13" s="23" t="s">
        <v>10</v>
      </c>
      <c r="E13" s="23"/>
      <c r="F13" s="23">
        <v>45757</v>
      </c>
      <c r="G13" s="23">
        <v>45758</v>
      </c>
      <c r="H13" s="21">
        <f t="shared" si="3"/>
        <v>2</v>
      </c>
      <c r="I13" s="30" t="s">
        <v>19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s="3" customFormat="1" ht="33" customHeight="1" spans="2:34">
      <c r="B14" s="22" t="s">
        <v>20</v>
      </c>
      <c r="C14" s="22"/>
      <c r="D14" s="23" t="s">
        <v>12</v>
      </c>
      <c r="E14" s="23"/>
      <c r="F14" s="23">
        <v>45757</v>
      </c>
      <c r="G14" s="23">
        <v>45758</v>
      </c>
      <c r="H14" s="21">
        <f t="shared" si="3"/>
        <v>2</v>
      </c>
      <c r="I14" s="30" t="s">
        <v>21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="3" customFormat="1" ht="33" customHeight="1" spans="2:34">
      <c r="B15" s="19" t="s">
        <v>22</v>
      </c>
      <c r="C15" s="19"/>
      <c r="D15" s="20" t="s">
        <v>10</v>
      </c>
      <c r="E15" s="20"/>
      <c r="F15" s="20">
        <f>MIN(F16:F19)</f>
        <v>45757</v>
      </c>
      <c r="G15" s="20">
        <f>MAX(G16:G19)</f>
        <v>45758</v>
      </c>
      <c r="H15" s="21">
        <f t="shared" si="3"/>
        <v>2</v>
      </c>
      <c r="I15" s="21" t="s">
        <v>23</v>
      </c>
      <c r="J15" s="21" t="str">
        <f t="shared" ref="J15:AH15" si="4">IF(AND(J$7&gt;=$F15,J$7&lt;=$G15),1,"")</f>
        <v/>
      </c>
      <c r="K15" s="21" t="str">
        <f t="shared" si="4"/>
        <v/>
      </c>
      <c r="L15" s="21" t="str">
        <f t="shared" si="4"/>
        <v/>
      </c>
      <c r="M15" s="21" t="str">
        <f t="shared" si="4"/>
        <v/>
      </c>
      <c r="N15" s="21" t="str">
        <f t="shared" si="4"/>
        <v/>
      </c>
      <c r="O15" s="21" t="str">
        <f t="shared" si="4"/>
        <v/>
      </c>
      <c r="P15" s="21" t="str">
        <f t="shared" si="4"/>
        <v/>
      </c>
      <c r="Q15" s="21" t="str">
        <f t="shared" si="4"/>
        <v/>
      </c>
      <c r="R15" s="21" t="str">
        <f t="shared" si="4"/>
        <v/>
      </c>
      <c r="S15" s="21">
        <f t="shared" si="4"/>
        <v>1</v>
      </c>
      <c r="T15" s="21">
        <f t="shared" si="4"/>
        <v>1</v>
      </c>
      <c r="U15" s="21" t="str">
        <f t="shared" si="4"/>
        <v/>
      </c>
      <c r="V15" s="21" t="str">
        <f t="shared" si="4"/>
        <v/>
      </c>
      <c r="W15" s="21" t="str">
        <f t="shared" si="4"/>
        <v/>
      </c>
      <c r="X15" s="21" t="str">
        <f t="shared" si="4"/>
        <v/>
      </c>
      <c r="Y15" s="21" t="str">
        <f t="shared" si="4"/>
        <v/>
      </c>
      <c r="Z15" s="21" t="str">
        <f t="shared" si="4"/>
        <v/>
      </c>
      <c r="AA15" s="21" t="str">
        <f t="shared" si="4"/>
        <v/>
      </c>
      <c r="AB15" s="21" t="str">
        <f t="shared" si="4"/>
        <v/>
      </c>
      <c r="AC15" s="21" t="str">
        <f t="shared" si="4"/>
        <v/>
      </c>
      <c r="AD15" s="21" t="str">
        <f t="shared" si="4"/>
        <v/>
      </c>
      <c r="AE15" s="21" t="str">
        <f t="shared" si="4"/>
        <v/>
      </c>
      <c r="AF15" s="21" t="str">
        <f t="shared" si="4"/>
        <v/>
      </c>
      <c r="AG15" s="21" t="str">
        <f t="shared" si="4"/>
        <v/>
      </c>
      <c r="AH15" s="21" t="str">
        <f t="shared" si="4"/>
        <v/>
      </c>
    </row>
    <row r="16" s="3" customFormat="1" ht="33" customHeight="1" spans="2:34">
      <c r="B16" s="22" t="s">
        <v>24</v>
      </c>
      <c r="C16" s="22"/>
      <c r="D16" s="23" t="s">
        <v>10</v>
      </c>
      <c r="E16" s="23"/>
      <c r="F16" s="23">
        <v>45757</v>
      </c>
      <c r="G16" s="23">
        <v>45758</v>
      </c>
      <c r="H16" s="21">
        <f t="shared" si="3"/>
        <v>2</v>
      </c>
      <c r="I16" s="30" t="s">
        <v>23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="3" customFormat="1" ht="33" customHeight="1" spans="2:34">
      <c r="B17" s="22" t="s">
        <v>25</v>
      </c>
      <c r="C17" s="22"/>
      <c r="D17" s="23" t="s">
        <v>10</v>
      </c>
      <c r="E17" s="23"/>
      <c r="F17" s="23">
        <v>45757</v>
      </c>
      <c r="G17" s="23">
        <v>45758</v>
      </c>
      <c r="H17" s="21">
        <f t="shared" si="3"/>
        <v>2</v>
      </c>
      <c r="I17" s="30" t="s">
        <v>23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="3" customFormat="1" ht="33" customHeight="1" spans="2:34">
      <c r="B18" s="22" t="s">
        <v>26</v>
      </c>
      <c r="C18" s="22"/>
      <c r="D18" s="23" t="s">
        <v>10</v>
      </c>
      <c r="E18" s="23"/>
      <c r="F18" s="23">
        <v>45757</v>
      </c>
      <c r="G18" s="23">
        <v>45758</v>
      </c>
      <c r="H18" s="21">
        <f t="shared" si="3"/>
        <v>2</v>
      </c>
      <c r="I18" s="30" t="s">
        <v>23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="3" customFormat="1" ht="33" customHeight="1" spans="2:34">
      <c r="B19" s="22" t="s">
        <v>27</v>
      </c>
      <c r="C19" s="22"/>
      <c r="D19" s="23" t="s">
        <v>10</v>
      </c>
      <c r="E19" s="23"/>
      <c r="F19" s="23">
        <v>45757</v>
      </c>
      <c r="G19" s="23">
        <v>45758</v>
      </c>
      <c r="H19" s="21">
        <f t="shared" si="3"/>
        <v>2</v>
      </c>
      <c r="I19" s="30" t="s">
        <v>23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="3" customFormat="1" ht="33" customHeight="1" spans="2:34">
      <c r="B20" s="19" t="s">
        <v>28</v>
      </c>
      <c r="C20" s="19"/>
      <c r="D20" s="20" t="s">
        <v>12</v>
      </c>
      <c r="E20" s="20"/>
      <c r="F20" s="20">
        <f>MIN(F21:F23)</f>
        <v>45754</v>
      </c>
      <c r="G20" s="20">
        <f>MAX(G21:G23)</f>
        <v>45758</v>
      </c>
      <c r="H20" s="21">
        <f t="shared" si="3"/>
        <v>5</v>
      </c>
      <c r="I20" s="21" t="s">
        <v>29</v>
      </c>
      <c r="J20" s="21" t="str">
        <f t="shared" ref="J20:AH20" si="5">IF(AND(J$7&gt;=$F20,J$7&lt;=$G20),1,"")</f>
        <v/>
      </c>
      <c r="K20" s="21" t="str">
        <f t="shared" si="5"/>
        <v/>
      </c>
      <c r="L20" s="21" t="str">
        <f t="shared" si="5"/>
        <v/>
      </c>
      <c r="M20" s="21" t="str">
        <f t="shared" si="5"/>
        <v/>
      </c>
      <c r="N20" s="21" t="str">
        <f t="shared" si="5"/>
        <v/>
      </c>
      <c r="O20" s="21" t="str">
        <f t="shared" si="5"/>
        <v/>
      </c>
      <c r="P20" s="21">
        <f t="shared" si="5"/>
        <v>1</v>
      </c>
      <c r="Q20" s="21">
        <f t="shared" si="5"/>
        <v>1</v>
      </c>
      <c r="R20" s="21">
        <f t="shared" si="5"/>
        <v>1</v>
      </c>
      <c r="S20" s="21">
        <f t="shared" si="5"/>
        <v>1</v>
      </c>
      <c r="T20" s="21">
        <f t="shared" si="5"/>
        <v>1</v>
      </c>
      <c r="U20" s="21" t="str">
        <f t="shared" si="5"/>
        <v/>
      </c>
      <c r="V20" s="21" t="str">
        <f t="shared" si="5"/>
        <v/>
      </c>
      <c r="W20" s="21" t="str">
        <f t="shared" si="5"/>
        <v/>
      </c>
      <c r="X20" s="21" t="str">
        <f t="shared" si="5"/>
        <v/>
      </c>
      <c r="Y20" s="21" t="str">
        <f t="shared" si="5"/>
        <v/>
      </c>
      <c r="Z20" s="21" t="str">
        <f t="shared" si="5"/>
        <v/>
      </c>
      <c r="AA20" s="21" t="str">
        <f t="shared" si="5"/>
        <v/>
      </c>
      <c r="AB20" s="21" t="str">
        <f t="shared" si="5"/>
        <v/>
      </c>
      <c r="AC20" s="21" t="str">
        <f t="shared" si="5"/>
        <v/>
      </c>
      <c r="AD20" s="21" t="str">
        <f t="shared" si="5"/>
        <v/>
      </c>
      <c r="AE20" s="21" t="str">
        <f t="shared" si="5"/>
        <v/>
      </c>
      <c r="AF20" s="21" t="str">
        <f t="shared" si="5"/>
        <v/>
      </c>
      <c r="AG20" s="21" t="str">
        <f t="shared" si="5"/>
        <v/>
      </c>
      <c r="AH20" s="21" t="str">
        <f t="shared" si="5"/>
        <v/>
      </c>
    </row>
    <row r="21" s="3" customFormat="1" ht="33" customHeight="1" spans="2:34">
      <c r="B21" s="22" t="s">
        <v>30</v>
      </c>
      <c r="C21" s="22"/>
      <c r="D21" s="23" t="s">
        <v>31</v>
      </c>
      <c r="E21" s="23"/>
      <c r="F21" s="23">
        <v>45754</v>
      </c>
      <c r="G21" s="23">
        <v>45755</v>
      </c>
      <c r="H21" s="21">
        <f t="shared" si="3"/>
        <v>2</v>
      </c>
      <c r="I21" s="30" t="s">
        <v>32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="3" customFormat="1" ht="33" customHeight="1" spans="2:34">
      <c r="B22" s="22" t="s">
        <v>33</v>
      </c>
      <c r="C22" s="22"/>
      <c r="D22" s="23" t="s">
        <v>34</v>
      </c>
      <c r="E22" s="23"/>
      <c r="F22" s="23">
        <v>45754</v>
      </c>
      <c r="G22" s="23">
        <v>45756</v>
      </c>
      <c r="H22" s="21">
        <f t="shared" si="3"/>
        <v>3</v>
      </c>
      <c r="I22" s="30" t="s">
        <v>35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="3" customFormat="1" ht="33" customHeight="1" spans="2:34">
      <c r="B23" s="22" t="s">
        <v>36</v>
      </c>
      <c r="C23" s="22"/>
      <c r="D23" s="23" t="s">
        <v>12</v>
      </c>
      <c r="E23" s="23"/>
      <c r="F23" s="23">
        <v>45757</v>
      </c>
      <c r="G23" s="23">
        <v>45758</v>
      </c>
      <c r="H23" s="21">
        <f t="shared" si="3"/>
        <v>2</v>
      </c>
      <c r="I23" s="30" t="s">
        <v>29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="3" customFormat="1" ht="33" customHeight="1" spans="2:34">
      <c r="B24" s="19" t="s">
        <v>37</v>
      </c>
      <c r="C24" s="19"/>
      <c r="D24" s="20" t="s">
        <v>31</v>
      </c>
      <c r="E24" s="20"/>
      <c r="F24" s="20">
        <f>MIN(F25:F25)</f>
        <v>45756</v>
      </c>
      <c r="G24" s="20">
        <f>MAX(G25:G25)</f>
        <v>45758</v>
      </c>
      <c r="H24" s="21">
        <f t="shared" si="3"/>
        <v>3</v>
      </c>
      <c r="I24" s="21" t="s">
        <v>37</v>
      </c>
      <c r="J24" s="21" t="str">
        <f t="shared" ref="J24:AH24" si="6">IF(AND(J$7&gt;=$F24,J$7&lt;=$G24),1,"")</f>
        <v/>
      </c>
      <c r="K24" s="21" t="str">
        <f t="shared" si="6"/>
        <v/>
      </c>
      <c r="L24" s="21" t="str">
        <f t="shared" si="6"/>
        <v/>
      </c>
      <c r="M24" s="21" t="str">
        <f t="shared" si="6"/>
        <v/>
      </c>
      <c r="N24" s="21" t="str">
        <f t="shared" si="6"/>
        <v/>
      </c>
      <c r="O24" s="21" t="str">
        <f t="shared" si="6"/>
        <v/>
      </c>
      <c r="P24" s="21" t="str">
        <f t="shared" si="6"/>
        <v/>
      </c>
      <c r="Q24" s="21" t="str">
        <f t="shared" si="6"/>
        <v/>
      </c>
      <c r="R24" s="21">
        <f t="shared" si="6"/>
        <v>1</v>
      </c>
      <c r="S24" s="21">
        <f t="shared" si="6"/>
        <v>1</v>
      </c>
      <c r="T24" s="21">
        <f t="shared" si="6"/>
        <v>1</v>
      </c>
      <c r="U24" s="21" t="str">
        <f t="shared" si="6"/>
        <v/>
      </c>
      <c r="V24" s="21" t="str">
        <f t="shared" si="6"/>
        <v/>
      </c>
      <c r="W24" s="21" t="str">
        <f t="shared" si="6"/>
        <v/>
      </c>
      <c r="X24" s="21" t="str">
        <f t="shared" si="6"/>
        <v/>
      </c>
      <c r="Y24" s="21" t="str">
        <f t="shared" si="6"/>
        <v/>
      </c>
      <c r="Z24" s="21" t="str">
        <f t="shared" si="6"/>
        <v/>
      </c>
      <c r="AA24" s="21" t="str">
        <f t="shared" si="6"/>
        <v/>
      </c>
      <c r="AB24" s="21" t="str">
        <f t="shared" si="6"/>
        <v/>
      </c>
      <c r="AC24" s="21" t="str">
        <f t="shared" si="6"/>
        <v/>
      </c>
      <c r="AD24" s="21" t="str">
        <f t="shared" si="6"/>
        <v/>
      </c>
      <c r="AE24" s="21" t="str">
        <f t="shared" si="6"/>
        <v/>
      </c>
      <c r="AF24" s="21" t="str">
        <f t="shared" si="6"/>
        <v/>
      </c>
      <c r="AG24" s="21" t="str">
        <f t="shared" si="6"/>
        <v/>
      </c>
      <c r="AH24" s="21" t="str">
        <f t="shared" si="6"/>
        <v/>
      </c>
    </row>
    <row r="25" s="3" customFormat="1" ht="33" customHeight="1" spans="2:34">
      <c r="B25" s="22" t="s">
        <v>38</v>
      </c>
      <c r="C25" s="22"/>
      <c r="D25" s="23" t="s">
        <v>31</v>
      </c>
      <c r="E25" s="23"/>
      <c r="F25" s="23">
        <v>45756</v>
      </c>
      <c r="G25" s="23">
        <v>45758</v>
      </c>
      <c r="H25" s="21">
        <f t="shared" si="3"/>
        <v>3</v>
      </c>
      <c r="I25" s="30" t="s">
        <v>39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="3" customFormat="1" ht="33" customHeight="1" spans="2:34">
      <c r="B26" s="19" t="s">
        <v>40</v>
      </c>
      <c r="C26" s="19"/>
      <c r="D26" s="20" t="s">
        <v>34</v>
      </c>
      <c r="E26" s="20"/>
      <c r="F26" s="20">
        <f>MIN(F27:F29)</f>
        <v>45756</v>
      </c>
      <c r="G26" s="20">
        <f>MAX(G27:G29)</f>
        <v>45758</v>
      </c>
      <c r="H26" s="21">
        <f t="shared" si="3"/>
        <v>3</v>
      </c>
      <c r="I26" s="21" t="s">
        <v>37</v>
      </c>
      <c r="J26" s="21" t="str">
        <f t="shared" ref="J26:AH26" si="7">IF(AND(J$7&gt;=$F26,J$7&lt;=$G26),1,"")</f>
        <v/>
      </c>
      <c r="K26" s="21" t="str">
        <f t="shared" si="7"/>
        <v/>
      </c>
      <c r="L26" s="21" t="str">
        <f t="shared" si="7"/>
        <v/>
      </c>
      <c r="M26" s="21" t="str">
        <f t="shared" si="7"/>
        <v/>
      </c>
      <c r="N26" s="21" t="str">
        <f t="shared" si="7"/>
        <v/>
      </c>
      <c r="O26" s="21" t="str">
        <f t="shared" si="7"/>
        <v/>
      </c>
      <c r="P26" s="21" t="str">
        <f t="shared" si="7"/>
        <v/>
      </c>
      <c r="Q26" s="21" t="str">
        <f t="shared" si="7"/>
        <v/>
      </c>
      <c r="R26" s="21">
        <f t="shared" si="7"/>
        <v>1</v>
      </c>
      <c r="S26" s="21">
        <f t="shared" si="7"/>
        <v>1</v>
      </c>
      <c r="T26" s="21">
        <f t="shared" si="7"/>
        <v>1</v>
      </c>
      <c r="U26" s="21" t="str">
        <f t="shared" si="7"/>
        <v/>
      </c>
      <c r="V26" s="21" t="str">
        <f t="shared" si="7"/>
        <v/>
      </c>
      <c r="W26" s="21" t="str">
        <f t="shared" si="7"/>
        <v/>
      </c>
      <c r="X26" s="21" t="str">
        <f t="shared" si="7"/>
        <v/>
      </c>
      <c r="Y26" s="21" t="str">
        <f t="shared" si="7"/>
        <v/>
      </c>
      <c r="Z26" s="21" t="str">
        <f t="shared" si="7"/>
        <v/>
      </c>
      <c r="AA26" s="21" t="str">
        <f t="shared" si="7"/>
        <v/>
      </c>
      <c r="AB26" s="21" t="str">
        <f t="shared" si="7"/>
        <v/>
      </c>
      <c r="AC26" s="21" t="str">
        <f t="shared" si="7"/>
        <v/>
      </c>
      <c r="AD26" s="21" t="str">
        <f t="shared" si="7"/>
        <v/>
      </c>
      <c r="AE26" s="21" t="str">
        <f t="shared" si="7"/>
        <v/>
      </c>
      <c r="AF26" s="21" t="str">
        <f t="shared" si="7"/>
        <v/>
      </c>
      <c r="AG26" s="21" t="str">
        <f t="shared" si="7"/>
        <v/>
      </c>
      <c r="AH26" s="21" t="str">
        <f t="shared" si="7"/>
        <v/>
      </c>
    </row>
    <row r="27" s="3" customFormat="1" ht="33" customHeight="1" spans="2:34">
      <c r="B27" s="22" t="s">
        <v>41</v>
      </c>
      <c r="C27" s="22"/>
      <c r="D27" s="23" t="s">
        <v>34</v>
      </c>
      <c r="E27" s="23"/>
      <c r="F27" s="23">
        <v>45756</v>
      </c>
      <c r="G27" s="23">
        <v>45758</v>
      </c>
      <c r="H27" s="21">
        <f t="shared" si="3"/>
        <v>3</v>
      </c>
      <c r="I27" s="30" t="s">
        <v>42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="3" customFormat="1" ht="33" customHeight="1" spans="2:34">
      <c r="B28" s="24" t="s">
        <v>43</v>
      </c>
      <c r="C28" s="25"/>
      <c r="D28" s="26" t="s">
        <v>34</v>
      </c>
      <c r="E28" s="23"/>
      <c r="F28" s="23">
        <v>45757</v>
      </c>
      <c r="G28" s="23">
        <v>45757</v>
      </c>
      <c r="H28" s="21">
        <f t="shared" si="3"/>
        <v>1</v>
      </c>
      <c r="I28" s="30" t="s">
        <v>44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="3" customFormat="1" ht="33" customHeight="1" spans="2:34">
      <c r="B29" s="24" t="s">
        <v>45</v>
      </c>
      <c r="C29" s="25"/>
      <c r="D29" s="26" t="s">
        <v>34</v>
      </c>
      <c r="E29" s="23"/>
      <c r="F29" s="23">
        <v>45757</v>
      </c>
      <c r="G29" s="23">
        <v>45758</v>
      </c>
      <c r="H29" s="21">
        <f t="shared" si="3"/>
        <v>2</v>
      </c>
      <c r="I29" s="30" t="s">
        <v>46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="3" customFormat="1" ht="33" customHeight="1" spans="2:34">
      <c r="B30" s="24" t="s">
        <v>47</v>
      </c>
      <c r="C30" s="25"/>
      <c r="D30" s="26" t="s">
        <v>34</v>
      </c>
      <c r="E30" s="23"/>
      <c r="F30" s="23">
        <v>45758</v>
      </c>
      <c r="G30" s="23">
        <v>45758</v>
      </c>
      <c r="H30" s="21">
        <f t="shared" si="3"/>
        <v>1</v>
      </c>
      <c r="I30" s="30" t="s">
        <v>48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s="3" customFormat="1" ht="33" customHeight="1" spans="2:34">
      <c r="B31" s="19" t="s">
        <v>49</v>
      </c>
      <c r="C31" s="19"/>
      <c r="D31" s="20"/>
      <c r="E31" s="20"/>
      <c r="F31" s="20"/>
      <c r="G31" s="20"/>
      <c r="H31" s="21"/>
      <c r="I31" s="21"/>
      <c r="J31" s="21" t="str">
        <f t="shared" ref="J31:AH31" si="8">IF(AND(J$7&gt;=$F31,J$7&lt;=$G31),1,"")</f>
        <v/>
      </c>
      <c r="K31" s="21" t="str">
        <f t="shared" si="8"/>
        <v/>
      </c>
      <c r="L31" s="21" t="str">
        <f t="shared" si="8"/>
        <v/>
      </c>
      <c r="M31" s="21" t="str">
        <f t="shared" si="8"/>
        <v/>
      </c>
      <c r="N31" s="21" t="str">
        <f t="shared" si="8"/>
        <v/>
      </c>
      <c r="O31" s="21" t="str">
        <f t="shared" si="8"/>
        <v/>
      </c>
      <c r="P31" s="21" t="str">
        <f t="shared" si="8"/>
        <v/>
      </c>
      <c r="Q31" s="21" t="str">
        <f t="shared" si="8"/>
        <v/>
      </c>
      <c r="R31" s="21" t="str">
        <f t="shared" si="8"/>
        <v/>
      </c>
      <c r="S31" s="21" t="str">
        <f t="shared" si="8"/>
        <v/>
      </c>
      <c r="T31" s="21" t="str">
        <f t="shared" si="8"/>
        <v/>
      </c>
      <c r="U31" s="21" t="str">
        <f t="shared" si="8"/>
        <v/>
      </c>
      <c r="V31" s="21" t="str">
        <f t="shared" si="8"/>
        <v/>
      </c>
      <c r="W31" s="21" t="str">
        <f t="shared" si="8"/>
        <v/>
      </c>
      <c r="X31" s="21" t="str">
        <f t="shared" si="8"/>
        <v/>
      </c>
      <c r="Y31" s="21" t="str">
        <f t="shared" si="8"/>
        <v/>
      </c>
      <c r="Z31" s="21" t="str">
        <f t="shared" si="8"/>
        <v/>
      </c>
      <c r="AA31" s="21" t="str">
        <f t="shared" si="8"/>
        <v/>
      </c>
      <c r="AB31" s="21" t="str">
        <f t="shared" si="8"/>
        <v/>
      </c>
      <c r="AC31" s="21" t="str">
        <f t="shared" si="8"/>
        <v/>
      </c>
      <c r="AD31" s="21" t="str">
        <f t="shared" si="8"/>
        <v/>
      </c>
      <c r="AE31" s="21" t="str">
        <f t="shared" si="8"/>
        <v/>
      </c>
      <c r="AF31" s="21" t="str">
        <f t="shared" si="8"/>
        <v/>
      </c>
      <c r="AG31" s="21" t="str">
        <f t="shared" si="8"/>
        <v/>
      </c>
      <c r="AH31" s="21" t="str">
        <f t="shared" si="8"/>
        <v/>
      </c>
    </row>
    <row r="32" s="3" customFormat="1" ht="33" customHeight="1" spans="2:34">
      <c r="B32" s="22" t="s">
        <v>50</v>
      </c>
      <c r="C32" s="22"/>
      <c r="D32" s="23"/>
      <c r="E32" s="23"/>
      <c r="F32" s="23"/>
      <c r="G32" s="23"/>
      <c r="H32" s="21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s="3" customFormat="1" ht="33" customHeight="1" spans="2:34">
      <c r="B33" s="24" t="s">
        <v>51</v>
      </c>
      <c r="C33" s="25"/>
      <c r="D33" s="26"/>
      <c r="E33" s="23"/>
      <c r="F33" s="23"/>
      <c r="G33" s="23"/>
      <c r="H33" s="21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</sheetData>
  <mergeCells count="35">
    <mergeCell ref="B2:AH2"/>
    <mergeCell ref="C4:D4"/>
    <mergeCell ref="B6:AH6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D7:D8"/>
    <mergeCell ref="E7:E8"/>
    <mergeCell ref="F7:F8"/>
    <mergeCell ref="G7:G8"/>
    <mergeCell ref="H7:H8"/>
    <mergeCell ref="I7:I8"/>
    <mergeCell ref="B7:C8"/>
  </mergeCells>
  <conditionalFormatting sqref="J22:AH22">
    <cfRule type="expression" dxfId="0" priority="4">
      <formula>AND(J$7&gt;=$F22,J$7&lt;=$G22)</formula>
    </cfRule>
  </conditionalFormatting>
  <conditionalFormatting sqref="J25:AH25">
    <cfRule type="expression" dxfId="0" priority="8">
      <formula>AND(J$7&gt;=$F25,J$7&lt;=$G25)</formula>
    </cfRule>
  </conditionalFormatting>
  <conditionalFormatting sqref="J30:AH30">
    <cfRule type="expression" dxfId="0" priority="3">
      <formula>AND(J$7&gt;=$F30,J$7&lt;=$G30)</formula>
    </cfRule>
  </conditionalFormatting>
  <conditionalFormatting sqref="J10:AH14">
    <cfRule type="expression" dxfId="0" priority="14">
      <formula>AND(J$7&gt;=$F10,J$7&lt;=$G10)</formula>
    </cfRule>
  </conditionalFormatting>
  <conditionalFormatting sqref="J16:AH19">
    <cfRule type="expression" dxfId="0" priority="13">
      <formula>AND(J$7&gt;=$F16,J$7&lt;=$G16)</formula>
    </cfRule>
  </conditionalFormatting>
  <conditionalFormatting sqref="J21:AH21 J23:AH23">
    <cfRule type="expression" dxfId="0" priority="12">
      <formula>AND(J$7&gt;=$F21,J$7&lt;=$G21)</formula>
    </cfRule>
  </conditionalFormatting>
  <conditionalFormatting sqref="J27:AH29">
    <cfRule type="expression" dxfId="0" priority="6">
      <formula>AND(J$7&gt;=$F27,J$7&lt;=$G27)</formula>
    </cfRule>
  </conditionalFormatting>
  <conditionalFormatting sqref="J32:AH33">
    <cfRule type="expression" dxfId="0" priority="2">
      <formula>AND(J$7&gt;=$F32,J$7&lt;=$G32)</formula>
    </cfRule>
  </conditionalFormatting>
  <dataValidations count="1">
    <dataValidation allowBlank="1" showInputMessage="1" showErrorMessage="1" sqref="I13:AH13 I30:AH30 H9:H30 H31:H33 I14:AH25 I9:AH12 I26:AH29 I31:AH33"/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d122ae8f-9ca3-4b9d-b441-e9f81a5b1e2c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J9:AH9</xm:sqref>
        </x14:conditionalFormatting>
        <x14:conditionalFormatting xmlns:xm="http://schemas.microsoft.com/office/excel/2006/main">
          <x14:cfRule type="iconSet" priority="10" id="{40347aac-85ec-4acf-bad4-5e5bfe2c7109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J15:AH15</xm:sqref>
        </x14:conditionalFormatting>
        <x14:conditionalFormatting xmlns:xm="http://schemas.microsoft.com/office/excel/2006/main">
          <x14:cfRule type="iconSet" priority="9" id="{b7d88afc-c781-42a3-aa4d-d846d61097b2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J20:AH20</xm:sqref>
        </x14:conditionalFormatting>
        <x14:conditionalFormatting xmlns:xm="http://schemas.microsoft.com/office/excel/2006/main">
          <x14:cfRule type="iconSet" priority="7" id="{bf01ee92-2047-4f1a-beed-e290883c06f8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J24:AH24</xm:sqref>
        </x14:conditionalFormatting>
        <x14:conditionalFormatting xmlns:xm="http://schemas.microsoft.com/office/excel/2006/main">
          <x14:cfRule type="iconSet" priority="5" id="{a3c9a55d-564b-4efe-83c6-a4c2d86fa9f0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J26:AH26</xm:sqref>
        </x14:conditionalFormatting>
        <x14:conditionalFormatting xmlns:xm="http://schemas.microsoft.com/office/excel/2006/main">
          <x14:cfRule type="iconSet" priority="1" id="{a00c0d1d-fb94-4eea-bd1d-9dbca5f50149}">
            <x14:iconSet iconSet="3Flags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0"/>
              <x14:cfIcon iconSet="3Flags" iconId="0"/>
            </x14:iconSet>
          </x14:cfRule>
          <xm:sqref>J31:AH31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showGridLines="0" workbookViewId="0">
      <selection activeCell="A1" sqref="A1"/>
    </sheetView>
  </sheetViews>
  <sheetFormatPr defaultColWidth="8.83076923076923" defaultRowHeight="14" customHeight="1"/>
  <cols>
    <col min="1" max="40" width="8.83076923076923" style="1"/>
  </cols>
  <sheetData/>
  <sheetProtection insertHyperlinks="0" autoFilter="0"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版权说明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鹿梦</cp:lastModifiedBy>
  <dcterms:created xsi:type="dcterms:W3CDTF">2006-09-16T00:00:00Z</dcterms:created>
  <dcterms:modified xsi:type="dcterms:W3CDTF">2025-04-09T13:10:51Z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158A87D4F18B4F499CC5CC4C0ADEDF95_12</vt:lpwstr>
  </property>
  <property fmtid="{D5CDD505-2E9C-101B-9397-08002B2CF9AE}" pid="3" name="KSOProductBuildVer">
    <vt:lpwstr>2052-12.1.0.20305</vt:lpwstr>
  </property>
</Properties>
</file>